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D:\Projects\KiCad\Bakeneko60-HS\PCBway\"/>
    </mc:Choice>
  </mc:AlternateContent>
  <xr:revisionPtr revIDLastSave="0" documentId="13_ncr:1_{C94F13DA-FB68-48E5-A7F8-22194F5096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G8" i="1"/>
  <c r="G7" i="1"/>
</calcChain>
</file>

<file path=xl/sharedStrings.xml><?xml version="1.0" encoding="utf-8"?>
<sst xmlns="http://schemas.openxmlformats.org/spreadsheetml/2006/main" count="104" uniqueCount="85">
  <si>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</si>
  <si>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</si>
  <si>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</si>
  <si>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</si>
  <si>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</si>
  <si>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</si>
  <si>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</si>
  <si>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</si>
  <si>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</si>
  <si>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U1</t>
  </si>
  <si>
    <t>SMD</t>
  </si>
  <si>
    <t>Need a quick and accurante quote? Need an efficient production? Please read SMT Ordering Necessary Files &amp; Info in 1 minute. Thank you very much!</t>
  </si>
  <si>
    <t>Click for Instructions on How to Create a BOM</t>
  </si>
  <si>
    <t>C1, C2</t>
  </si>
  <si>
    <t>C3</t>
  </si>
  <si>
    <t>C4, C5</t>
  </si>
  <si>
    <t>C6</t>
  </si>
  <si>
    <t>D1, D2, D3, D4, D5, D6, D7, D8, D9, D10, D11, D12, D13, D14, D15, D16, D17, D18, D19, D20, D21, D22, D23, D24, D25, D26, D27, D28, D29, D30, D31, D32, D33, D34, D35, D36, D37, D38, D39, D40, D41, D42, D43, D44, D45, D46, D47, D48, D49, D50, D51, D52, D53, D54, D55, D56, D57, D58, D59, D60, D61, D62, D63</t>
  </si>
  <si>
    <t>https://lcsc.com/product-detail/Multilayer-Ceramic-Capacitors-MLCC-SMD-SMT_Samsung-Electro-Mechanics-CL10C100JB8NNNC_C1634.html</t>
  </si>
  <si>
    <t>CAP CER 10PF 50V C0G 0603</t>
  </si>
  <si>
    <t>CAP CER 1UF 50V X5R 0603</t>
  </si>
  <si>
    <t>Samsung Electro-Mechanics</t>
  </si>
  <si>
    <t>CL10C100JB8NNNC</t>
  </si>
  <si>
    <t>CL10A105KB8NNNC</t>
  </si>
  <si>
    <t>https://lcsc.com/product-detail/Multilayer-Ceramic-Capacitors-MLCC-SMD-SMT_Samsung-Electro-Mechanics-CL10A105KB8NNNC_C15849.html</t>
  </si>
  <si>
    <t>YAGEO</t>
  </si>
  <si>
    <t>CC0603KRX7R9BB104</t>
  </si>
  <si>
    <t>https://lcsc.com/product-detail/Multilayer-Ceramic-Capacitors-MLCC-SMD-SMT_YAGEO-CC0603KRX7R9BB104_C14663.html</t>
  </si>
  <si>
    <t>CAP CER 100NF 50V X7R 0603</t>
  </si>
  <si>
    <t>CL21A106KAYNNNE</t>
  </si>
  <si>
    <t>CAP CER 10UF 25V X5R 0805</t>
  </si>
  <si>
    <t>https://lcsc.com/product-detail/Multilayer-Ceramic-Capacitors-MLCC-SMD-SMT_Samsung-Electro-Mechanics-CL21A106KAYNNNE_C15850.html</t>
  </si>
  <si>
    <t>1N4148W</t>
  </si>
  <si>
    <t>75V 150MA 4NS SOD-123 SWITCHING DIODE</t>
  </si>
  <si>
    <t>SOD-123</t>
  </si>
  <si>
    <t>ST(Semtech)</t>
  </si>
  <si>
    <t>https://lcsc.com/product-detail/Switching-Diode_ST-Semtech-1N4148W_C81598.html</t>
  </si>
  <si>
    <t>F1</t>
  </si>
  <si>
    <t>Littelfuse</t>
  </si>
  <si>
    <t>1206L025YR</t>
  </si>
  <si>
    <t>POLYMERIC 16V 500MA 100MS 750MΩ 1206 PTC RESETTABLE FUSES</t>
  </si>
  <si>
    <t>1206</t>
  </si>
  <si>
    <t>https://lcsc.com/product-detail/PTC-Resettable-Fuses_Littelfuse-1206L025YR_C99561.html</t>
  </si>
  <si>
    <t>J1</t>
  </si>
  <si>
    <t>JST Sales America</t>
  </si>
  <si>
    <t>SM04B-SRSS-TB(LF)(SN)</t>
  </si>
  <si>
    <t>SR/SZ Header Male Pin 0.039"(1.00mm) 4 Wire To Board / Wire To Wire Connector RoHS</t>
  </si>
  <si>
    <t>https://lcsc.com/product-detail/Wire-To-Board-Wire-To-Wire-Connector_JST-Sales-America-SM04B-SRSS-TB-LF-SN_C160404.html</t>
  </si>
  <si>
    <t>MX1, MX2, MX3, MX4, MX5, MX6, MX7, MX8, MX9, MX10, MX11, MX12, MX13, MX14, MX15, MX16, MX17, MX18, MX19, MX20, MX21, MX22, MX23, MX24, MX25, MX26, MX27, MX28, MX29, MX30, MX31, MX32, MX33, MX34, MX35, MX36, MX37, MX38, MX39, MX40, MX41, MX42, MX43, MX44, MX45, MX46, MX47, MX48, MX49, MX50, MX51, MX52, MX53, MX54, MX55, MX56, MX57, MX58, MX59, MX60, MX61, MX62, MX63, MX64, MX65, MX66, MX67, MX68, MX69, MX70, MX71, MX72, MX73</t>
  </si>
  <si>
    <t>Kailh</t>
  </si>
  <si>
    <t>PG151101S11</t>
  </si>
  <si>
    <t>R1, R2</t>
  </si>
  <si>
    <t>UNI-ROYAL(Uniroyal Elec)</t>
  </si>
  <si>
    <t>0603WAF220JT5E</t>
  </si>
  <si>
    <t>0603</t>
  </si>
  <si>
    <t>https://lcsc.com/product-detail/Chip-Resistor-Surface-Mount_UNI-ROYAL-Uniroyal-Elec-0603WAF220JT5E_C23345.html</t>
  </si>
  <si>
    <t>R3</t>
  </si>
  <si>
    <t>0603WAF1001T5E</t>
  </si>
  <si>
    <t>RES 22 OHM 0.1W 200 PPM 0603</t>
  </si>
  <si>
    <t>RES 1K OHM 0.1W 200 PPM 0603</t>
  </si>
  <si>
    <t>https://lcsc.com/product-detail/Chip-Resistor-Surface-Mount_UNI-ROYAL-Uniroyal-Elec-0603WAF1001T5E_C21190.html</t>
  </si>
  <si>
    <t>SW1</t>
  </si>
  <si>
    <t>XKB Connectivity</t>
  </si>
  <si>
    <t>TS-1187A-B-A-B</t>
  </si>
  <si>
    <t>SPST 50mA @ 12VDC Vertical Round Button 160gf SMD Tactile Switches RoHS</t>
  </si>
  <si>
    <t>SMD-SW-4_5.1x5.1x1.5</t>
  </si>
  <si>
    <t>https://lcsc.com/product-detail/Tactile-Switches_XKB-Connectivity-TS-1187A-B-A-B_C318884.html</t>
  </si>
  <si>
    <t>Microchip Tech</t>
  </si>
  <si>
    <t>ATMEGA32U2-AU</t>
  </si>
  <si>
    <t>TQFP-32</t>
  </si>
  <si>
    <t>TQFP-32 MICROCHIP RoHS</t>
  </si>
  <si>
    <t>https://lcsc.com/product-detail/MICROCHIP_Microchip-Tech-ATMEGA32U2-AU_C618733.html</t>
  </si>
  <si>
    <t>U2</t>
  </si>
  <si>
    <t>ProTek Devices</t>
  </si>
  <si>
    <t>SRV05-4-P-T7</t>
  </si>
  <si>
    <t>5V 6V 12V 1A (8/20us) SOT-23-6 TVS RoHS</t>
  </si>
  <si>
    <t>SOT-23-6L</t>
  </si>
  <si>
    <t>https://lcsc.com/product-detail/TVS_ProTek-Devices-SRV05-4-P-T7_C85364.html</t>
  </si>
  <si>
    <t>Y1</t>
  </si>
  <si>
    <t>Yangxing Tech</t>
  </si>
  <si>
    <t>X322516MLB4SI</t>
  </si>
  <si>
    <t>SMD Crystal Resonators 16MHz ±10ppm SMD-3225_4P RoHS</t>
  </si>
  <si>
    <t>SMD-CRY-3225_4P</t>
  </si>
  <si>
    <t>https://lcsc.com/product-detail/Crystals_Yangxing-Tech-X322516MLB4SI_C13738.html</t>
  </si>
  <si>
    <t>MECHANICAL KEYBOARD HOTSWAP SOCKET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</si>
</sst>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  <font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1" applyFont="1" applyAlignment="1" applyProtection="1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49" fontId="6" fillId="0" borderId="1" xfId="0" applyNumberFormat="1" applyFont="1" applyBorder="1" applyAlignment="1">
      <alignment horizontal="left"/>
    </xf>
    <xf numFmtId="0" fontId="7" fillId="0" borderId="0" xfId="1" applyAlignment="1" applyProtection="1">
      <alignment horizontal="left" vertical="center"/>
    </xf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  <xf numFmtId="0" fontId="9" fillId="0" borderId="1" xfId="0" applyFont="1" applyFill="1" applyBorder="1" applyAlignment="1"/>
    <xf numFmtId="0" fontId="10" fillId="0" borderId="1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5"/>
  <sheetViews>
    <sheetView tabSelected="1" workbookViewId="0">
      <selection activeCell="D2" sqref="D2:F4"/>
    </sheetView>
  </sheetViews>
  <sheetFormatPr defaultColWidth="9" defaultRowHeight="14.25"/>
  <cols>
    <col min="1" max="1" width="9" style="3"/>
    <col min="2" max="2" width="16.42578125" style="3" customWidth="1"/>
    <col min="3" max="3" width="9" style="3"/>
    <col min="4" max="4" width="21.42578125" style="3" customWidth="1"/>
    <col min="5" max="5" width="29.85546875" style="3" customWidth="1"/>
    <col min="6" max="6" width="41.5703125" style="3" customWidth="1"/>
    <col min="7" max="7" width="20.85546875" style="3" customWidth="1"/>
    <col min="8" max="8" width="13.5703125" style="3" customWidth="1"/>
    <col min="9" max="9" width="35.5703125" style="3" customWidth="1"/>
    <col min="10" max="16384" width="9" style="3"/>
  </cols>
  <sheetData>
    <row r="2" spans="1:9" ht="19.5" customHeight="1">
      <c r="A2" s="20"/>
      <c r="B2" s="20"/>
      <c r="D2" s="19"/>
      <c r="E2" s="19"/>
      <c r="F2" s="19"/>
    </row>
    <row r="3" spans="1:9">
      <c r="A3" s="20"/>
      <c r="B3" s="20"/>
      <c r="D3" s="19"/>
      <c r="E3" s="19"/>
      <c r="F3" s="19"/>
    </row>
    <row r="4" spans="1:9">
      <c r="D4" s="19"/>
      <c r="E4" s="19"/>
      <c r="F4" s="19"/>
    </row>
    <row r="6" spans="1:9" ht="28.5" customHeight="1">
      <c r="A6" s="4" t="s">
        <v>0</v>
      </c>
      <c r="B6" s="5" t="s">
        <v>1</v>
      </c>
      <c r="C6" s="6" t="s">
        <v>2</v>
      </c>
      <c r="D6" s="4" t="s">
        <v>3</v>
      </c>
      <c r="E6" s="6" t="s">
        <v>4</v>
      </c>
      <c r="F6" s="4" t="s">
        <v>5</v>
      </c>
      <c r="G6" s="5" t="s">
        <v>6</v>
      </c>
      <c r="H6" s="4" t="s">
        <v>7</v>
      </c>
      <c r="I6" s="4" t="s">
        <v>8</v>
      </c>
    </row>
    <row r="7" spans="1:9">
      <c r="A7" s="7">
        <v>1</v>
      </c>
      <c r="B7" s="8" t="s">
        <v>13</v>
      </c>
      <c r="C7" s="7">
        <v>2</v>
      </c>
      <c r="D7" s="8" t="s">
        <v>21</v>
      </c>
      <c r="E7" s="8" t="s">
        <v>22</v>
      </c>
      <c r="F7" s="9" t="s">
        <v>19</v>
      </c>
      <c r="G7" s="9" t="str">
        <f>"0603"</f>
        <v>0603</v>
      </c>
      <c r="H7" s="10" t="s">
        <v>10</v>
      </c>
      <c r="I7" s="10" t="s">
        <v>18</v>
      </c>
    </row>
    <row r="8" spans="1:9" s="1" customFormat="1">
      <c r="A8" s="11">
        <v>2</v>
      </c>
      <c r="B8" s="12" t="s">
        <v>14</v>
      </c>
      <c r="C8" s="11">
        <v>1</v>
      </c>
      <c r="D8" s="12" t="s">
        <v>21</v>
      </c>
      <c r="E8" s="12" t="s">
        <v>23</v>
      </c>
      <c r="F8" s="13" t="s">
        <v>20</v>
      </c>
      <c r="G8" s="13" t="str">
        <f>"0603"</f>
        <v>0603</v>
      </c>
      <c r="H8" s="14" t="s">
        <v>10</v>
      </c>
      <c r="I8" s="14" t="s">
        <v>24</v>
      </c>
    </row>
    <row r="9" spans="1:9">
      <c r="A9" s="7">
        <v>3</v>
      </c>
      <c r="B9" s="8" t="s">
        <v>15</v>
      </c>
      <c r="C9" s="7">
        <v>2</v>
      </c>
      <c r="D9" s="8" t="s">
        <v>25</v>
      </c>
      <c r="E9" s="8" t="s">
        <v>26</v>
      </c>
      <c r="F9" s="21" t="s">
        <v>28</v>
      </c>
      <c r="G9" s="9" t="str">
        <f>"0603"</f>
        <v>0603</v>
      </c>
      <c r="H9" s="10" t="s">
        <v>10</v>
      </c>
      <c r="I9" s="10" t="s">
        <v>27</v>
      </c>
    </row>
    <row r="10" spans="1:9">
      <c r="A10" s="7">
        <v>4</v>
      </c>
      <c r="B10" s="8" t="s">
        <v>16</v>
      </c>
      <c r="C10" s="7">
        <v>1</v>
      </c>
      <c r="D10" s="8" t="s">
        <v>21</v>
      </c>
      <c r="E10" s="8" t="s">
        <v>29</v>
      </c>
      <c r="F10" s="21" t="s">
        <v>30</v>
      </c>
      <c r="G10" s="9" t="str">
        <f>"0805"</f>
        <v>0805</v>
      </c>
      <c r="H10" s="10" t="s">
        <v>10</v>
      </c>
      <c r="I10" s="10" t="s">
        <v>31</v>
      </c>
    </row>
    <row r="11" spans="1:9">
      <c r="A11" s="7">
        <v>5</v>
      </c>
      <c r="B11" s="8" t="s">
        <v>17</v>
      </c>
      <c r="C11" s="7">
        <v>1</v>
      </c>
      <c r="D11" s="22" t="s">
        <v>35</v>
      </c>
      <c r="E11" s="8" t="s">
        <v>32</v>
      </c>
      <c r="F11" s="21" t="s">
        <v>33</v>
      </c>
      <c r="G11" s="21" t="s">
        <v>34</v>
      </c>
      <c r="H11" s="10" t="s">
        <v>10</v>
      </c>
      <c r="I11" s="10" t="s">
        <v>36</v>
      </c>
    </row>
    <row r="12" spans="1:9">
      <c r="A12" s="7">
        <v>6</v>
      </c>
      <c r="B12" s="22" t="s">
        <v>37</v>
      </c>
      <c r="C12" s="7">
        <v>1</v>
      </c>
      <c r="D12" s="22" t="s">
        <v>38</v>
      </c>
      <c r="E12" s="8" t="s">
        <v>39</v>
      </c>
      <c r="F12" s="21" t="s">
        <v>40</v>
      </c>
      <c r="G12" s="23" t="s">
        <v>41</v>
      </c>
      <c r="H12" s="10" t="s">
        <v>10</v>
      </c>
      <c r="I12" s="10" t="s">
        <v>42</v>
      </c>
    </row>
    <row r="13" spans="1:9">
      <c r="A13" s="7">
        <v>7</v>
      </c>
      <c r="B13" s="22" t="s">
        <v>43</v>
      </c>
      <c r="C13" s="7">
        <v>1</v>
      </c>
      <c r="D13" s="8" t="s">
        <v>44</v>
      </c>
      <c r="E13" s="8" t="s">
        <v>45</v>
      </c>
      <c r="F13" s="9" t="s">
        <v>46</v>
      </c>
      <c r="G13" s="23" t="s">
        <v>10</v>
      </c>
      <c r="H13" s="10" t="s">
        <v>10</v>
      </c>
      <c r="I13" s="10" t="s">
        <v>47</v>
      </c>
    </row>
    <row r="14" spans="1:9">
      <c r="A14" s="7">
        <v>8</v>
      </c>
      <c r="B14" s="22" t="s">
        <v>48</v>
      </c>
      <c r="C14" s="7">
        <v>73</v>
      </c>
      <c r="D14" s="8" t="s">
        <v>49</v>
      </c>
      <c r="E14" s="8" t="s">
        <v>50</v>
      </c>
      <c r="F14" s="22" t="s">
        <v>84</v>
      </c>
      <c r="G14" s="23" t="s">
        <v>10</v>
      </c>
      <c r="H14" s="10" t="s">
        <v>10</v>
      </c>
      <c r="I14" s="10"/>
    </row>
    <row r="15" spans="1:9">
      <c r="A15" s="7">
        <v>9</v>
      </c>
      <c r="B15" s="22" t="s">
        <v>51</v>
      </c>
      <c r="C15" s="7">
        <v>2</v>
      </c>
      <c r="D15" s="8" t="s">
        <v>52</v>
      </c>
      <c r="E15" s="8" t="s">
        <v>53</v>
      </c>
      <c r="F15" s="22" t="s">
        <v>58</v>
      </c>
      <c r="G15" s="23" t="s">
        <v>54</v>
      </c>
      <c r="H15" s="10" t="s">
        <v>10</v>
      </c>
      <c r="I15" s="10" t="s">
        <v>55</v>
      </c>
    </row>
    <row r="16" spans="1:9" s="1" customFormat="1">
      <c r="A16" s="11">
        <v>10</v>
      </c>
      <c r="B16" s="24" t="s">
        <v>56</v>
      </c>
      <c r="C16" s="11">
        <v>1</v>
      </c>
      <c r="D16" s="12" t="s">
        <v>52</v>
      </c>
      <c r="E16" s="12" t="s">
        <v>57</v>
      </c>
      <c r="F16" s="24" t="s">
        <v>59</v>
      </c>
      <c r="G16" s="25" t="s">
        <v>54</v>
      </c>
      <c r="H16" s="26" t="s">
        <v>10</v>
      </c>
      <c r="I16" s="27" t="s">
        <v>60</v>
      </c>
    </row>
    <row r="17" spans="1:9">
      <c r="A17" s="7">
        <v>11</v>
      </c>
      <c r="B17" s="22" t="s">
        <v>61</v>
      </c>
      <c r="C17" s="7">
        <v>1</v>
      </c>
      <c r="D17" s="8" t="s">
        <v>62</v>
      </c>
      <c r="E17" s="8" t="s">
        <v>63</v>
      </c>
      <c r="F17" s="8" t="s">
        <v>64</v>
      </c>
      <c r="G17" s="15" t="s">
        <v>65</v>
      </c>
      <c r="H17" s="10" t="s">
        <v>10</v>
      </c>
      <c r="I17" s="10" t="s">
        <v>66</v>
      </c>
    </row>
    <row r="18" spans="1:9">
      <c r="A18" s="7">
        <v>12</v>
      </c>
      <c r="B18" s="22" t="s">
        <v>9</v>
      </c>
      <c r="C18" s="7">
        <v>1</v>
      </c>
      <c r="D18" s="8" t="s">
        <v>67</v>
      </c>
      <c r="E18" s="8" t="s">
        <v>68</v>
      </c>
      <c r="F18" s="9" t="s">
        <v>70</v>
      </c>
      <c r="G18" s="15" t="s">
        <v>69</v>
      </c>
      <c r="H18" s="10" t="s">
        <v>10</v>
      </c>
      <c r="I18" s="10" t="s">
        <v>71</v>
      </c>
    </row>
    <row r="19" spans="1:9">
      <c r="A19" s="7">
        <v>13</v>
      </c>
      <c r="B19" s="22" t="s">
        <v>72</v>
      </c>
      <c r="C19" s="7">
        <v>1</v>
      </c>
      <c r="D19" s="8" t="s">
        <v>73</v>
      </c>
      <c r="E19" s="8" t="s">
        <v>74</v>
      </c>
      <c r="F19" s="8" t="s">
        <v>75</v>
      </c>
      <c r="G19" s="15" t="s">
        <v>76</v>
      </c>
      <c r="H19" s="10" t="s">
        <v>10</v>
      </c>
      <c r="I19" s="10" t="s">
        <v>77</v>
      </c>
    </row>
    <row r="20" spans="1:9">
      <c r="A20" s="7">
        <v>14</v>
      </c>
      <c r="B20" s="22" t="s">
        <v>78</v>
      </c>
      <c r="C20" s="7">
        <v>1</v>
      </c>
      <c r="D20" s="8" t="s">
        <v>79</v>
      </c>
      <c r="E20" s="8" t="s">
        <v>80</v>
      </c>
      <c r="F20" s="8" t="s">
        <v>81</v>
      </c>
      <c r="G20" s="15" t="s">
        <v>82</v>
      </c>
      <c r="H20" s="10" t="s">
        <v>10</v>
      </c>
      <c r="I20" s="10" t="s">
        <v>83</v>
      </c>
    </row>
    <row r="23" spans="1:9">
      <c r="A23" s="17" t="s">
        <v>11</v>
      </c>
      <c r="B23" s="17"/>
      <c r="C23" s="17"/>
      <c r="D23" s="17"/>
      <c r="E23" s="17"/>
      <c r="F23" s="17"/>
      <c r="G23" s="17"/>
      <c r="H23" s="17"/>
      <c r="I23" s="17"/>
    </row>
    <row r="24" spans="1:9">
      <c r="A24" s="16"/>
      <c r="B24" s="16"/>
      <c r="C24" s="16"/>
      <c r="D24" s="16"/>
      <c r="E24" s="16"/>
      <c r="F24" s="16"/>
      <c r="G24" s="16"/>
      <c r="H24" s="16"/>
      <c r="I24" s="16"/>
    </row>
    <row r="25" spans="1:9" s="2" customFormat="1" ht="13.5">
      <c r="A25" s="18" t="s">
        <v>12</v>
      </c>
      <c r="B25" s="18"/>
      <c r="C25" s="18"/>
      <c r="D25" s="18"/>
      <c r="E25" s="18"/>
      <c r="F25" s="18"/>
      <c r="G25" s="18"/>
      <c r="H25" s="18"/>
      <c r="I25" s="18"/>
    </row>
  </sheetData>
  <mergeCells count="4">
    <mergeCell ref="A23:I23"/>
    <mergeCell ref="A25:I25"/>
    <mergeCell ref="D2:F4"/>
    <mergeCell ref="A2:B3"/>
  </mergeCells>
  <hyperlinks>
    <hyperlink ref="A25" r:id="rId1" xr:uid="{00000000-0004-0000-0000-000000000000}"/>
    <hyperlink ref="A23" display="Need a quick and accurante quote? Need an efficient production? Please read SMT Ordering Necessary Files &amp; Info in 1 minute. Thank you very much!" xr:uid="{00000000-0004-0000-0000-000001000000}"/>
    <hyperlink ref="A23:I23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Ramon Imbao</cp:lastModifiedBy>
  <dcterms:created xsi:type="dcterms:W3CDTF">2006-09-13T11:21:00Z</dcterms:created>
  <dcterms:modified xsi:type="dcterms:W3CDTF">2021-06-28T06:29:10Z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